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etal\Downloads\"/>
    </mc:Choice>
  </mc:AlternateContent>
  <xr:revisionPtr revIDLastSave="0" documentId="8_{F29E14AB-7E09-47F4-95F9-86AF5984C442}" xr6:coauthVersionLast="47" xr6:coauthVersionMax="47" xr10:uidLastSave="{00000000-0000-0000-0000-000000000000}"/>
  <bookViews>
    <workbookView xWindow="-110" yWindow="-110" windowWidth="19420" windowHeight="10300" firstSheet="3" activeTab="6" xr2:uid="{BBBB50CA-76F7-4E54-888E-10B02209A53D}"/>
  </bookViews>
  <sheets>
    <sheet name="Income Statement" sheetId="1" r:id="rId1"/>
    <sheet name="Balance Sheet" sheetId="2" r:id="rId2"/>
    <sheet name="Cash Flow Statement" sheetId="3" r:id="rId3"/>
    <sheet name="Segment Revenue" sheetId="4" r:id="rId4"/>
    <sheet name="KPI's" sheetId="5" r:id="rId5"/>
    <sheet name="Dashboard Blueprint" sheetId="6" r:id="rId6"/>
    <sheet name="Narrative Flow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6" i="5" l="1"/>
  <c r="Q17" i="5"/>
  <c r="Q18" i="5"/>
  <c r="Q15" i="5"/>
  <c r="Q14" i="5"/>
  <c r="P16" i="5"/>
  <c r="P17" i="5"/>
  <c r="P18" i="5"/>
  <c r="P15" i="5"/>
  <c r="P14" i="5"/>
  <c r="O16" i="5"/>
  <c r="O17" i="5"/>
  <c r="O18" i="5"/>
  <c r="O15" i="5"/>
  <c r="O14" i="5"/>
  <c r="L8" i="4"/>
  <c r="E8" i="4"/>
  <c r="K15" i="5"/>
  <c r="K16" i="5"/>
  <c r="K17" i="5"/>
  <c r="K18" i="5"/>
  <c r="J15" i="5"/>
  <c r="J16" i="5"/>
  <c r="J17" i="5"/>
  <c r="J18" i="5"/>
  <c r="I15" i="5"/>
  <c r="I16" i="5"/>
  <c r="I17" i="5"/>
  <c r="I18" i="5"/>
  <c r="K14" i="5"/>
  <c r="J14" i="5"/>
  <c r="I14" i="5"/>
  <c r="E15" i="5"/>
  <c r="E16" i="5"/>
  <c r="E17" i="5"/>
  <c r="E18" i="5"/>
  <c r="E14" i="5"/>
  <c r="L4" i="4"/>
  <c r="L5" i="4"/>
  <c r="L6" i="4"/>
  <c r="L7" i="4"/>
  <c r="L3" i="4"/>
  <c r="E3" i="4"/>
  <c r="E4" i="4"/>
  <c r="E5" i="4"/>
  <c r="E6" i="4"/>
  <c r="E7" i="4"/>
  <c r="D15" i="5"/>
  <c r="D16" i="5"/>
  <c r="D17" i="5"/>
  <c r="D18" i="5"/>
  <c r="D14" i="5"/>
  <c r="C15" i="5"/>
  <c r="C16" i="5"/>
  <c r="C17" i="5"/>
  <c r="C18" i="5"/>
  <c r="C14" i="5"/>
  <c r="L6" i="5"/>
  <c r="L7" i="5"/>
  <c r="L8" i="5"/>
  <c r="L5" i="5"/>
  <c r="L4" i="5"/>
  <c r="K5" i="5"/>
  <c r="K6" i="5"/>
  <c r="K7" i="5"/>
  <c r="K8" i="5"/>
  <c r="K4" i="5"/>
  <c r="J5" i="5"/>
  <c r="J6" i="5"/>
  <c r="J7" i="5"/>
  <c r="J8" i="5"/>
  <c r="J4" i="5"/>
  <c r="I5" i="5"/>
  <c r="I6" i="5"/>
  <c r="I7" i="5"/>
  <c r="I8" i="5"/>
  <c r="I4" i="5"/>
  <c r="H5" i="5"/>
  <c r="H6" i="5"/>
  <c r="H7" i="5"/>
  <c r="H8" i="5"/>
  <c r="H4" i="5"/>
  <c r="G5" i="5"/>
  <c r="G6" i="5"/>
  <c r="G7" i="5"/>
  <c r="G8" i="5"/>
  <c r="G4" i="5"/>
  <c r="F6" i="5"/>
  <c r="F7" i="5"/>
  <c r="F8" i="5"/>
  <c r="F5" i="5"/>
  <c r="F4" i="5"/>
  <c r="E5" i="5"/>
  <c r="E6" i="5"/>
  <c r="E7" i="5"/>
  <c r="E8" i="5"/>
  <c r="E4" i="5"/>
  <c r="D7" i="5"/>
  <c r="D8" i="5"/>
  <c r="D6" i="5"/>
  <c r="D5" i="5"/>
  <c r="D4" i="5"/>
  <c r="C8" i="5"/>
  <c r="C7" i="5"/>
  <c r="C6" i="5"/>
  <c r="C5" i="5"/>
  <c r="C4" i="5"/>
</calcChain>
</file>

<file path=xl/sharedStrings.xml><?xml version="1.0" encoding="utf-8"?>
<sst xmlns="http://schemas.openxmlformats.org/spreadsheetml/2006/main" count="219" uniqueCount="130">
  <si>
    <t>Year</t>
  </si>
  <si>
    <t>Revenue</t>
  </si>
  <si>
    <t>Cost of Revenue</t>
  </si>
  <si>
    <t>Gross Profit</t>
  </si>
  <si>
    <t>Sales &amp; Marketing Exp</t>
  </si>
  <si>
    <t>General &amp; Admin Exp</t>
  </si>
  <si>
    <t>R &amp; D Exp</t>
  </si>
  <si>
    <t>Operating Income</t>
  </si>
  <si>
    <t>Net Income</t>
  </si>
  <si>
    <t>(In USD millions)</t>
  </si>
  <si>
    <t xml:space="preserve">Cash and Cash eq. </t>
  </si>
  <si>
    <t>Total Assets</t>
  </si>
  <si>
    <t>Total Liability</t>
  </si>
  <si>
    <t>Total Debt</t>
  </si>
  <si>
    <t>Shareholder's Equity</t>
  </si>
  <si>
    <t>Operating Cash Flow</t>
  </si>
  <si>
    <t>Cap Ex</t>
  </si>
  <si>
    <t>Productivity and Business Processes</t>
  </si>
  <si>
    <t>Intelligent Cloud</t>
  </si>
  <si>
    <t>More Personal Computing</t>
  </si>
  <si>
    <t>Revenue(In USD Millions)</t>
  </si>
  <si>
    <t>Operating Income(In USD Millions)</t>
  </si>
  <si>
    <t>Revenue Growth %</t>
  </si>
  <si>
    <t>Gross Margin %</t>
  </si>
  <si>
    <t>Operating Margin %</t>
  </si>
  <si>
    <t>Net Margin %</t>
  </si>
  <si>
    <t>ROE %</t>
  </si>
  <si>
    <t>Debt to Equity</t>
  </si>
  <si>
    <t>Free Cash Flow</t>
  </si>
  <si>
    <t>FCF Margin %</t>
  </si>
  <si>
    <t>Net Income Growth %</t>
  </si>
  <si>
    <t>Asset Growth %</t>
  </si>
  <si>
    <t>Formulas</t>
  </si>
  <si>
    <t>(CY revenue- PY revenue)/ PY revenue</t>
  </si>
  <si>
    <t>Gross Profit/Revenue</t>
  </si>
  <si>
    <t>Oerating Income/Revenue</t>
  </si>
  <si>
    <t>(CY net Income- PY net Income)/PY net Income</t>
  </si>
  <si>
    <t>Net Income/ Revenue</t>
  </si>
  <si>
    <t>FCF/Revenue</t>
  </si>
  <si>
    <t>Total Debt/SHF</t>
  </si>
  <si>
    <t>Operating CF - Cap Ex</t>
  </si>
  <si>
    <t>(CY Assets- PY Assets)/PY assets</t>
  </si>
  <si>
    <t>NA</t>
  </si>
  <si>
    <t>Net Income/SHF</t>
  </si>
  <si>
    <t>KPIs</t>
  </si>
  <si>
    <t>ROE</t>
  </si>
  <si>
    <t>Visuals</t>
  </si>
  <si>
    <t>KPI Cards</t>
  </si>
  <si>
    <t>Revenue Trend</t>
  </si>
  <si>
    <t>Net Income Trend</t>
  </si>
  <si>
    <t>Segment Revenue</t>
  </si>
  <si>
    <t>Dashboard Theme</t>
  </si>
  <si>
    <t>Microsoft FY2021–FY2025</t>
  </si>
  <si>
    <t>Evaluating Whether Microsoft's Strategic Investments Created Sustainable Shareholder Value</t>
  </si>
  <si>
    <t>Did Microsoft's Strategy Create Shareholder Value?</t>
  </si>
  <si>
    <t>Context</t>
  </si>
  <si>
    <t>Over FY2021–FY2025, Microsoft invested significantly in Cloud and AI. The purpose of this analysis is to determine whether those investments translated into value for shareholders.</t>
  </si>
  <si>
    <t>FCF Trend</t>
  </si>
  <si>
    <t>Key Message</t>
  </si>
  <si>
    <t>Microsoft's overall financial performance improved significantly over the five-year period, indicating substantial value creation.</t>
  </si>
  <si>
    <t>PAGE 2 — HOW (Growth Engine)</t>
  </si>
  <si>
    <t>How Did Microsoft Generate Growth?</t>
  </si>
  <si>
    <t>Value cannot be created without growth. Understanding where growth originated helps identify the effectiveness of Microsoft's strategic priorities.</t>
  </si>
  <si>
    <t>Segment Contribution %</t>
  </si>
  <si>
    <t>Segment Revenue Trend</t>
  </si>
  <si>
    <t>Revenue Mix by Segment</t>
  </si>
  <si>
    <t>Growth Contribution by Segment</t>
  </si>
  <si>
    <t>Data Used</t>
  </si>
  <si>
    <t>Productivity &amp; Business Processes</t>
  </si>
  <si>
    <t>Intelligent Cloud emerged as the primary driver of Microsoft's growth, gradually reshaping the company's revenue mix.</t>
  </si>
  <si>
    <t>PAGE 3 — HOW (Value Conversion Engine)</t>
  </si>
  <si>
    <t>How Efficiently Was Growth Converted Into Profit?</t>
  </si>
  <si>
    <t>Growth alone does not create shareholder value. The true test is whether the company can convert revenue into profitable earnings while managing costs effectively.</t>
  </si>
  <si>
    <t>Operating Expense Ratio</t>
  </si>
  <si>
    <t>Margin Trend Analysis</t>
  </si>
  <si>
    <t>Cost of Revenue Trend</t>
  </si>
  <si>
    <t>Operating Income Trend</t>
  </si>
  <si>
    <t>P&amp;L Waterfall</t>
  </si>
  <si>
    <t>Expense Breakdown</t>
  </si>
  <si>
    <t>R&amp;D</t>
  </si>
  <si>
    <t>Sales &amp; Marketing</t>
  </si>
  <si>
    <t>G&amp;A</t>
  </si>
  <si>
    <t>Microsoft successfully translated revenue growth into operating profitability while continuing to invest in innovation and expansion.</t>
  </si>
  <si>
    <t>PAGE 4 — HOW (Cash Realization Engine)</t>
  </si>
  <si>
    <t>Were Profits Converted Into Cash?</t>
  </si>
  <si>
    <t>Strong financial performance should ultimately result in strong cash generation. Cash validates the quality of earnings.</t>
  </si>
  <si>
    <t>Operating Cash Flow Trend</t>
  </si>
  <si>
    <t>Free Cash Flow Trend</t>
  </si>
  <si>
    <t>Net Income vs Free Cash Flow</t>
  </si>
  <si>
    <t>OCF vs Net Income Comparison</t>
  </si>
  <si>
    <t>CapEx</t>
  </si>
  <si>
    <t>Microsoft's earnings were consistently supported by strong cash generation, demonstrating high earnings quality.</t>
  </si>
  <si>
    <t>PAGE 5 — WHAT</t>
  </si>
  <si>
    <t>What Financial Position Did Microsoft Achieve?</t>
  </si>
  <si>
    <t>The result of growth, profitability, and cash generation should be reflected in a stronger financial position and the ability to sustain future growth.</t>
  </si>
  <si>
    <t>Total Liabilities</t>
  </si>
  <si>
    <t>Shareholders' Equity</t>
  </si>
  <si>
    <t>Debt-to-Equity</t>
  </si>
  <si>
    <t>Assets vs Liabilities</t>
  </si>
  <si>
    <t>Equity Growth Trend</t>
  </si>
  <si>
    <t>Debt-to-Equity Trend</t>
  </si>
  <si>
    <t>Financial Strength Scorecard</t>
  </si>
  <si>
    <t>Assets</t>
  </si>
  <si>
    <t>Liabilities</t>
  </si>
  <si>
    <t>Equity</t>
  </si>
  <si>
    <t>Debt</t>
  </si>
  <si>
    <t>Microsoft strengthened its financial foundation while expanding its business, positioning itself to continue investing in future opportunities.</t>
  </si>
  <si>
    <t>WHY</t>
  </si>
  <si>
    <t>Did Microsoft create shareholder value?</t>
  </si>
  <si>
    <t>↓</t>
  </si>
  <si>
    <t>HOW</t>
  </si>
  <si>
    <t>How was growth generated?</t>
  </si>
  <si>
    <t>How was growth converted into profit?</t>
  </si>
  <si>
    <t>How were profits converted into cash?</t>
  </si>
  <si>
    <t>WHAT</t>
  </si>
  <si>
    <t>What financial position was ultimately achieved?</t>
  </si>
  <si>
    <t>Between FY2021 and FY2025, Microsoft made significant investments in Cloud and AI with the objective of creating long-term shareholder value. This analysis evaluates whether those investments delivered meaningful financial outcomes.</t>
  </si>
  <si>
    <t>Message-</t>
  </si>
  <si>
    <t>PAGE 1 — WHY(Value Creation Overwiew)</t>
  </si>
  <si>
    <t>Microsoft's value creation journey began with sustained revenue growth, primarily driven by the increasing contribution of Intelligent Cloud and the evolution of its business mix.</t>
  </si>
  <si>
    <t>Growth alone does not create value. Microsoft strengthened value creation by efficiently converting revenue into operating profits while maintaining control over costs and supporting strategic investments.</t>
  </si>
  <si>
    <t>The quality of Microsoft's financial performance is reflected in its ability to convert profits into cash, generating strong operating and free cash flows to support future investments and shareholder returns.</t>
  </si>
  <si>
    <t>The combined impact of growth, profitability, and cash generation resulted in a stronger financial position, reinforcing Microsoft's ability to sustain future growth and continue creating shareholder value.</t>
  </si>
  <si>
    <t>Segment Revenue Share %</t>
  </si>
  <si>
    <t>Segment Revenue/Total Revenue</t>
  </si>
  <si>
    <t>Total</t>
  </si>
  <si>
    <t>Segment Operating Income Share %</t>
  </si>
  <si>
    <t>Segment Operating Inc/Total Operating Inc</t>
  </si>
  <si>
    <t>Segment Revenue Growth %</t>
  </si>
  <si>
    <t>(CY Segment Rev- PY Segment Rev)/PY Segment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</si>
</sst>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3" fontId="0" fillId="3" borderId="1" xfId="0" applyNumberFormat="1" applyFill="1" applyBorder="1"/>
    <xf numFmtId="0" fontId="0" fillId="3" borderId="1" xfId="0" applyFill="1" applyBorder="1"/>
    <xf numFmtId="0" fontId="1" fillId="4" borderId="1" xfId="0" applyFont="1" applyFill="1" applyBorder="1"/>
    <xf numFmtId="3" fontId="0" fillId="5" borderId="1" xfId="0" applyNumberFormat="1" applyFill="1" applyBorder="1"/>
    <xf numFmtId="0" fontId="0" fillId="5" borderId="1" xfId="0" applyFill="1" applyBorder="1"/>
    <xf numFmtId="0" fontId="1" fillId="6" borderId="1" xfId="0" applyFont="1" applyFill="1" applyBorder="1"/>
    <xf numFmtId="3" fontId="0" fillId="7" borderId="1" xfId="0" applyNumberFormat="1" applyFill="1" applyBorder="1"/>
    <xf numFmtId="0" fontId="1" fillId="8" borderId="1" xfId="0" applyFont="1" applyFill="1" applyBorder="1"/>
    <xf numFmtId="3" fontId="0" fillId="9" borderId="1" xfId="0" applyNumberFormat="1" applyFill="1" applyBorder="1"/>
    <xf numFmtId="0" fontId="1" fillId="10" borderId="1" xfId="0" applyFont="1" applyFill="1" applyBorder="1"/>
    <xf numFmtId="10" fontId="0" fillId="11" borderId="1" xfId="0" applyNumberFormat="1" applyFill="1" applyBorder="1"/>
    <xf numFmtId="3" fontId="0" fillId="11" borderId="1" xfId="0" applyNumberFormat="1" applyFill="1" applyBorder="1"/>
    <xf numFmtId="9" fontId="0" fillId="11" borderId="1" xfId="1" applyFont="1" applyFill="1" applyBorder="1"/>
    <xf numFmtId="0" fontId="1" fillId="0" borderId="0" xfId="0" applyFont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5" xfId="0" applyFont="1" applyBorder="1"/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10" borderId="3" xfId="0" applyFont="1" applyFill="1" applyBorder="1"/>
    <xf numFmtId="0" fontId="0" fillId="10" borderId="7" xfId="0" applyFill="1" applyBorder="1"/>
    <xf numFmtId="0" fontId="1" fillId="10" borderId="9" xfId="0" applyFont="1" applyFill="1" applyBorder="1" applyAlignment="1">
      <alignment horizontal="center"/>
    </xf>
    <xf numFmtId="0" fontId="0" fillId="10" borderId="10" xfId="0" applyFill="1" applyBorder="1"/>
    <xf numFmtId="0" fontId="0" fillId="10" borderId="11" xfId="0" applyFill="1" applyBorder="1"/>
    <xf numFmtId="0" fontId="1" fillId="10" borderId="12" xfId="0" applyFont="1" applyFill="1" applyBorder="1" applyAlignment="1">
      <alignment horizontal="center"/>
    </xf>
    <xf numFmtId="0" fontId="0" fillId="10" borderId="13" xfId="0" applyFill="1" applyBorder="1"/>
    <xf numFmtId="10" fontId="0" fillId="0" borderId="0" xfId="0" applyNumberFormat="1"/>
    <xf numFmtId="0" fontId="0" fillId="10" borderId="14" xfId="0" applyFill="1" applyBorder="1"/>
    <xf numFmtId="0" fontId="1" fillId="10" borderId="14" xfId="0" applyFont="1" applyFill="1" applyBorder="1" applyAlignment="1">
      <alignment horizontal="center"/>
    </xf>
    <xf numFmtId="0" fontId="0" fillId="10" borderId="15" xfId="0" applyFill="1" applyBorder="1"/>
    <xf numFmtId="0" fontId="1" fillId="10" borderId="1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0C16-6BC1-406C-953C-D8F252255D1F}">
  <dimension ref="A1:I8"/>
  <sheetViews>
    <sheetView workbookViewId="0">
      <selection activeCell="K7" sqref="K7"/>
    </sheetView>
  </sheetViews>
  <sheetFormatPr defaultRowHeight="14.5" x14ac:dyDescent="0.35"/>
  <cols>
    <col min="9" max="9" width="11.26953125" customWidth="1"/>
  </cols>
  <sheetData>
    <row r="1" spans="1:9" x14ac:dyDescent="0.35">
      <c r="A1" s="3"/>
      <c r="B1" s="2" t="s">
        <v>9</v>
      </c>
      <c r="C1" s="3"/>
      <c r="D1" s="3"/>
      <c r="E1" s="3"/>
      <c r="F1" s="3"/>
      <c r="G1" s="3"/>
      <c r="H1" s="3"/>
      <c r="I1" s="3"/>
    </row>
    <row r="2" spans="1:9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6</v>
      </c>
      <c r="F2" s="4" t="s">
        <v>4</v>
      </c>
      <c r="G2" s="4" t="s">
        <v>5</v>
      </c>
      <c r="H2" s="4" t="s">
        <v>7</v>
      </c>
      <c r="I2" s="4" t="s">
        <v>8</v>
      </c>
    </row>
    <row r="3" spans="1:9" x14ac:dyDescent="0.35">
      <c r="A3" s="4">
        <v>2021</v>
      </c>
      <c r="B3" s="5">
        <v>168088</v>
      </c>
      <c r="C3" s="5">
        <v>52232</v>
      </c>
      <c r="D3" s="5">
        <v>115856</v>
      </c>
      <c r="E3" s="5">
        <v>20716</v>
      </c>
      <c r="F3" s="5">
        <v>20117</v>
      </c>
      <c r="G3" s="5">
        <v>5107</v>
      </c>
      <c r="H3" s="5">
        <v>69916</v>
      </c>
      <c r="I3" s="5">
        <v>61271</v>
      </c>
    </row>
    <row r="4" spans="1:9" x14ac:dyDescent="0.35">
      <c r="A4" s="4">
        <v>2022</v>
      </c>
      <c r="B4" s="5">
        <v>198270</v>
      </c>
      <c r="C4" s="5">
        <v>62650</v>
      </c>
      <c r="D4" s="5">
        <v>315620</v>
      </c>
      <c r="E4" s="5">
        <v>24512</v>
      </c>
      <c r="F4" s="5">
        <v>21825</v>
      </c>
      <c r="G4" s="5">
        <v>5900</v>
      </c>
      <c r="H4" s="5">
        <v>83383</v>
      </c>
      <c r="I4" s="5">
        <v>72738</v>
      </c>
    </row>
    <row r="5" spans="1:9" x14ac:dyDescent="0.35">
      <c r="A5" s="4">
        <v>2023</v>
      </c>
      <c r="B5" s="5">
        <v>211915</v>
      </c>
      <c r="C5" s="5">
        <v>65863</v>
      </c>
      <c r="D5" s="5">
        <v>146052</v>
      </c>
      <c r="E5" s="5">
        <v>27195</v>
      </c>
      <c r="F5" s="5">
        <v>22759</v>
      </c>
      <c r="G5" s="5">
        <v>7575</v>
      </c>
      <c r="H5" s="5">
        <v>88523</v>
      </c>
      <c r="I5" s="5">
        <v>72361</v>
      </c>
    </row>
    <row r="6" spans="1:9" x14ac:dyDescent="0.35">
      <c r="A6" s="4">
        <v>2024</v>
      </c>
      <c r="B6" s="5">
        <v>245122</v>
      </c>
      <c r="C6" s="5">
        <v>74114</v>
      </c>
      <c r="D6" s="5">
        <v>171008</v>
      </c>
      <c r="E6" s="5">
        <v>29510</v>
      </c>
      <c r="F6" s="5">
        <v>24456</v>
      </c>
      <c r="G6" s="5">
        <v>7609</v>
      </c>
      <c r="H6" s="5">
        <v>109433</v>
      </c>
      <c r="I6" s="5">
        <v>88136</v>
      </c>
    </row>
    <row r="7" spans="1:9" x14ac:dyDescent="0.35">
      <c r="A7" s="4">
        <v>2025</v>
      </c>
      <c r="B7" s="5">
        <v>281724</v>
      </c>
      <c r="C7" s="5">
        <v>87831</v>
      </c>
      <c r="D7" s="5">
        <v>193893</v>
      </c>
      <c r="E7" s="5">
        <v>32488</v>
      </c>
      <c r="F7" s="5">
        <v>25654</v>
      </c>
      <c r="G7" s="5">
        <v>7223</v>
      </c>
      <c r="H7" s="5">
        <v>128528</v>
      </c>
      <c r="I7" s="5">
        <v>101832</v>
      </c>
    </row>
    <row r="8" spans="1:9" x14ac:dyDescent="0.35">
      <c r="A8" s="4">
        <v>2020</v>
      </c>
      <c r="B8" s="5">
        <v>143015</v>
      </c>
      <c r="C8" s="6" t="s">
        <v>42</v>
      </c>
      <c r="D8" s="6" t="s">
        <v>42</v>
      </c>
      <c r="E8" s="6" t="s">
        <v>42</v>
      </c>
      <c r="F8" s="6" t="s">
        <v>42</v>
      </c>
      <c r="G8" s="6" t="s">
        <v>42</v>
      </c>
      <c r="H8" s="6" t="s">
        <v>42</v>
      </c>
      <c r="I8" s="5">
        <v>44281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9231-F01F-4BD8-A00E-AFCFA445A159}">
  <dimension ref="A1:F8"/>
  <sheetViews>
    <sheetView workbookViewId="0">
      <selection activeCell="D9" sqref="D9"/>
    </sheetView>
  </sheetViews>
  <sheetFormatPr defaultRowHeight="14.5" x14ac:dyDescent="0.35"/>
  <cols>
    <col min="1" max="1" width="4.81640625" bestFit="1" customWidth="1"/>
    <col min="2" max="2" width="16.7265625" bestFit="1" customWidth="1"/>
    <col min="3" max="3" width="10.7265625" bestFit="1" customWidth="1"/>
    <col min="4" max="4" width="12" bestFit="1" customWidth="1"/>
    <col min="5" max="5" width="9.26953125" bestFit="1" customWidth="1"/>
    <col min="6" max="6" width="18.1796875" bestFit="1" customWidth="1"/>
  </cols>
  <sheetData>
    <row r="1" spans="1:6" x14ac:dyDescent="0.35">
      <c r="B1" s="1" t="s">
        <v>9</v>
      </c>
    </row>
    <row r="2" spans="1:6" x14ac:dyDescent="0.35">
      <c r="A2" s="7" t="s">
        <v>0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</row>
    <row r="3" spans="1:6" x14ac:dyDescent="0.35">
      <c r="A3" s="7">
        <v>2021</v>
      </c>
      <c r="B3" s="8">
        <v>14224</v>
      </c>
      <c r="C3" s="8">
        <v>333779</v>
      </c>
      <c r="D3" s="8">
        <v>191791</v>
      </c>
      <c r="E3" s="8">
        <v>103134</v>
      </c>
      <c r="F3" s="8">
        <v>141988</v>
      </c>
    </row>
    <row r="4" spans="1:6" x14ac:dyDescent="0.35">
      <c r="A4" s="7">
        <v>2022</v>
      </c>
      <c r="B4" s="8">
        <v>13931</v>
      </c>
      <c r="C4" s="8">
        <v>364840</v>
      </c>
      <c r="D4" s="8">
        <v>198298</v>
      </c>
      <c r="E4" s="8">
        <v>103216</v>
      </c>
      <c r="F4" s="8">
        <v>166542</v>
      </c>
    </row>
    <row r="5" spans="1:6" x14ac:dyDescent="0.35">
      <c r="A5" s="7">
        <v>2023</v>
      </c>
      <c r="B5" s="8">
        <v>34704</v>
      </c>
      <c r="C5" s="8">
        <v>411976</v>
      </c>
      <c r="D5" s="8">
        <v>205753</v>
      </c>
      <c r="E5" s="8">
        <v>101604</v>
      </c>
      <c r="F5" s="8">
        <v>206223</v>
      </c>
    </row>
    <row r="6" spans="1:6" x14ac:dyDescent="0.35">
      <c r="A6" s="7">
        <v>2024</v>
      </c>
      <c r="B6" s="8">
        <v>18315</v>
      </c>
      <c r="C6" s="8">
        <v>512163</v>
      </c>
      <c r="D6" s="8">
        <v>243686</v>
      </c>
      <c r="E6" s="8">
        <v>118400</v>
      </c>
      <c r="F6" s="8">
        <v>268477</v>
      </c>
    </row>
    <row r="7" spans="1:6" x14ac:dyDescent="0.35">
      <c r="A7" s="7">
        <v>2025</v>
      </c>
      <c r="B7" s="8">
        <v>30242</v>
      </c>
      <c r="C7" s="8">
        <v>619003</v>
      </c>
      <c r="D7" s="8">
        <v>275524</v>
      </c>
      <c r="E7" s="8">
        <v>134306</v>
      </c>
      <c r="F7" s="8">
        <v>343479</v>
      </c>
    </row>
    <row r="8" spans="1:6" x14ac:dyDescent="0.35">
      <c r="A8" s="7">
        <v>2020</v>
      </c>
      <c r="B8" s="9" t="s">
        <v>42</v>
      </c>
      <c r="C8" s="8">
        <v>301331</v>
      </c>
      <c r="D8" s="9" t="s">
        <v>42</v>
      </c>
      <c r="E8" s="9" t="s">
        <v>42</v>
      </c>
      <c r="F8" s="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7AC6-88E9-47C1-A03E-7E0805B6DEC2}">
  <dimension ref="A1:C8"/>
  <sheetViews>
    <sheetView workbookViewId="0">
      <selection activeCell="E6" sqref="E6"/>
    </sheetView>
  </sheetViews>
  <sheetFormatPr defaultRowHeight="14.5" x14ac:dyDescent="0.35"/>
  <cols>
    <col min="2" max="2" width="18.08984375" bestFit="1" customWidth="1"/>
    <col min="3" max="3" width="6.453125" bestFit="1" customWidth="1"/>
  </cols>
  <sheetData>
    <row r="1" spans="1:3" x14ac:dyDescent="0.35">
      <c r="B1" s="1" t="s">
        <v>9</v>
      </c>
    </row>
    <row r="2" spans="1:3" x14ac:dyDescent="0.35">
      <c r="A2" s="10" t="s">
        <v>0</v>
      </c>
      <c r="B2" s="10" t="s">
        <v>15</v>
      </c>
      <c r="C2" s="10" t="s">
        <v>16</v>
      </c>
    </row>
    <row r="3" spans="1:3" x14ac:dyDescent="0.35">
      <c r="A3" s="10">
        <v>2021</v>
      </c>
      <c r="B3" s="11">
        <v>76740</v>
      </c>
      <c r="C3" s="11">
        <v>20622</v>
      </c>
    </row>
    <row r="4" spans="1:3" x14ac:dyDescent="0.35">
      <c r="A4" s="10">
        <v>2022</v>
      </c>
      <c r="B4" s="11">
        <v>89035</v>
      </c>
      <c r="C4" s="11">
        <v>23886</v>
      </c>
    </row>
    <row r="5" spans="1:3" x14ac:dyDescent="0.35">
      <c r="A5" s="10">
        <v>2023</v>
      </c>
      <c r="B5" s="11">
        <v>87582</v>
      </c>
      <c r="C5" s="11">
        <v>28107</v>
      </c>
    </row>
    <row r="6" spans="1:3" x14ac:dyDescent="0.35">
      <c r="A6" s="10">
        <v>2024</v>
      </c>
      <c r="B6" s="11">
        <v>118548</v>
      </c>
      <c r="C6" s="11">
        <v>44477</v>
      </c>
    </row>
    <row r="7" spans="1:3" x14ac:dyDescent="0.35">
      <c r="A7" s="10">
        <v>2025</v>
      </c>
      <c r="B7" s="11">
        <v>136162</v>
      </c>
      <c r="C7" s="11">
        <v>64551</v>
      </c>
    </row>
    <row r="8" spans="1:3" x14ac:dyDescent="0.35">
      <c r="A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230F-CD61-4243-A3E4-45E88B21B37D}">
  <dimension ref="A1:L8"/>
  <sheetViews>
    <sheetView workbookViewId="0">
      <selection activeCell="E12" sqref="E12"/>
    </sheetView>
  </sheetViews>
  <sheetFormatPr defaultRowHeight="14.5" x14ac:dyDescent="0.35"/>
  <cols>
    <col min="1" max="1" width="4.81640625" bestFit="1" customWidth="1"/>
    <col min="2" max="2" width="31.6328125" bestFit="1" customWidth="1"/>
    <col min="3" max="3" width="22.26953125" bestFit="1" customWidth="1"/>
    <col min="4" max="4" width="22.453125" bestFit="1" customWidth="1"/>
    <col min="5" max="5" width="7.90625" bestFit="1" customWidth="1"/>
    <col min="8" max="8" width="4.81640625" bestFit="1" customWidth="1"/>
    <col min="9" max="9" width="31.6328125" bestFit="1" customWidth="1"/>
    <col min="10" max="10" width="30" bestFit="1" customWidth="1"/>
    <col min="11" max="11" width="22.453125" bestFit="1" customWidth="1"/>
    <col min="12" max="12" width="7.90625" bestFit="1" customWidth="1"/>
  </cols>
  <sheetData>
    <row r="1" spans="1:12" x14ac:dyDescent="0.35">
      <c r="C1" s="1" t="s">
        <v>20</v>
      </c>
      <c r="J1" s="1" t="s">
        <v>21</v>
      </c>
    </row>
    <row r="2" spans="1:12" x14ac:dyDescent="0.35">
      <c r="A2" s="12" t="s">
        <v>0</v>
      </c>
      <c r="B2" s="12" t="s">
        <v>17</v>
      </c>
      <c r="C2" s="12" t="s">
        <v>18</v>
      </c>
      <c r="D2" s="12" t="s">
        <v>19</v>
      </c>
      <c r="E2" s="12" t="s">
        <v>125</v>
      </c>
      <c r="H2" s="12" t="s">
        <v>0</v>
      </c>
      <c r="I2" s="12" t="s">
        <v>17</v>
      </c>
      <c r="J2" s="12" t="s">
        <v>18</v>
      </c>
      <c r="K2" s="12" t="s">
        <v>19</v>
      </c>
      <c r="L2" s="12" t="s">
        <v>125</v>
      </c>
    </row>
    <row r="3" spans="1:12" x14ac:dyDescent="0.35">
      <c r="A3" s="12">
        <v>2021</v>
      </c>
      <c r="B3" s="13">
        <v>53915</v>
      </c>
      <c r="C3" s="13">
        <v>60080</v>
      </c>
      <c r="D3" s="13">
        <v>54093</v>
      </c>
      <c r="E3" s="13">
        <f>SUM(B3:D3)</f>
        <v>168088</v>
      </c>
      <c r="H3" s="12">
        <v>2021</v>
      </c>
      <c r="I3" s="13">
        <v>24351</v>
      </c>
      <c r="J3" s="13">
        <v>26126</v>
      </c>
      <c r="K3" s="13">
        <v>19439</v>
      </c>
      <c r="L3" s="13">
        <f>SUM(I3:K3)</f>
        <v>69916</v>
      </c>
    </row>
    <row r="4" spans="1:12" x14ac:dyDescent="0.35">
      <c r="A4" s="12">
        <v>2022</v>
      </c>
      <c r="B4" s="13">
        <v>63364</v>
      </c>
      <c r="C4" s="13">
        <v>74965</v>
      </c>
      <c r="D4" s="13">
        <v>59941</v>
      </c>
      <c r="E4" s="13">
        <f t="shared" ref="E4:E8" si="0">SUM(B4:D4)</f>
        <v>198270</v>
      </c>
      <c r="H4" s="12">
        <v>2022</v>
      </c>
      <c r="I4" s="13">
        <v>29690</v>
      </c>
      <c r="J4" s="13">
        <v>33203</v>
      </c>
      <c r="K4" s="13">
        <v>20490</v>
      </c>
      <c r="L4" s="13">
        <f t="shared" ref="L4:L8" si="1">SUM(I4:K4)</f>
        <v>83383</v>
      </c>
    </row>
    <row r="5" spans="1:12" x14ac:dyDescent="0.35">
      <c r="A5" s="12">
        <v>2023</v>
      </c>
      <c r="B5" s="13">
        <v>69274</v>
      </c>
      <c r="C5" s="13">
        <v>87907</v>
      </c>
      <c r="D5" s="13">
        <v>54734</v>
      </c>
      <c r="E5" s="13">
        <f t="shared" si="0"/>
        <v>211915</v>
      </c>
      <c r="H5" s="12">
        <v>2023</v>
      </c>
      <c r="I5" s="13">
        <v>34189</v>
      </c>
      <c r="J5" s="13">
        <v>37884</v>
      </c>
      <c r="K5" s="13">
        <v>16450</v>
      </c>
      <c r="L5" s="13">
        <f t="shared" si="1"/>
        <v>88523</v>
      </c>
    </row>
    <row r="6" spans="1:12" x14ac:dyDescent="0.35">
      <c r="A6" s="12">
        <v>2024</v>
      </c>
      <c r="B6" s="13">
        <v>77728</v>
      </c>
      <c r="C6" s="13">
        <v>105362</v>
      </c>
      <c r="D6" s="13">
        <v>62032</v>
      </c>
      <c r="E6" s="13">
        <f t="shared" si="0"/>
        <v>245122</v>
      </c>
      <c r="H6" s="12">
        <v>2024</v>
      </c>
      <c r="I6" s="13">
        <v>40540</v>
      </c>
      <c r="J6" s="13">
        <v>49584</v>
      </c>
      <c r="K6" s="13">
        <v>19309</v>
      </c>
      <c r="L6" s="13">
        <f t="shared" si="1"/>
        <v>109433</v>
      </c>
    </row>
    <row r="7" spans="1:12" x14ac:dyDescent="0.35">
      <c r="A7" s="12">
        <v>2025</v>
      </c>
      <c r="B7" s="13">
        <v>120810</v>
      </c>
      <c r="C7" s="13">
        <v>106265</v>
      </c>
      <c r="D7" s="13">
        <v>54649</v>
      </c>
      <c r="E7" s="13">
        <f t="shared" si="0"/>
        <v>281724</v>
      </c>
      <c r="H7" s="12">
        <v>2025</v>
      </c>
      <c r="I7" s="13">
        <v>69773</v>
      </c>
      <c r="J7" s="13">
        <v>44589</v>
      </c>
      <c r="K7" s="13">
        <v>14166</v>
      </c>
      <c r="L7" s="13">
        <f t="shared" si="1"/>
        <v>128528</v>
      </c>
    </row>
    <row r="8" spans="1:12" x14ac:dyDescent="0.35">
      <c r="A8" s="12">
        <v>2020</v>
      </c>
      <c r="B8" s="13">
        <v>46398</v>
      </c>
      <c r="C8" s="13">
        <v>48366</v>
      </c>
      <c r="D8" s="13">
        <v>48251</v>
      </c>
      <c r="E8" s="13">
        <f t="shared" si="0"/>
        <v>143015</v>
      </c>
      <c r="H8" s="12">
        <v>2020</v>
      </c>
      <c r="I8" s="13">
        <v>18724</v>
      </c>
      <c r="J8" s="13">
        <v>18324</v>
      </c>
      <c r="K8" s="13">
        <v>15911</v>
      </c>
      <c r="L8" s="13">
        <f t="shared" si="1"/>
        <v>52959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0B66-B136-4E18-80CF-0F6B3FCEF3DA}">
  <dimension ref="A1:R19"/>
  <sheetViews>
    <sheetView workbookViewId="0">
      <selection activeCell="F12" sqref="F12"/>
    </sheetView>
  </sheetViews>
  <sheetFormatPr defaultRowHeight="14.5" x14ac:dyDescent="0.35"/>
  <cols>
    <col min="3" max="3" width="13" customWidth="1"/>
    <col min="4" max="4" width="15.36328125" customWidth="1"/>
    <col min="5" max="5" width="12.54296875" customWidth="1"/>
    <col min="6" max="6" width="12.36328125" customWidth="1"/>
    <col min="7" max="7" width="12.81640625" customWidth="1"/>
    <col min="9" max="9" width="11" customWidth="1"/>
    <col min="10" max="10" width="10.6328125" customWidth="1"/>
    <col min="11" max="11" width="11.54296875" customWidth="1"/>
  </cols>
  <sheetData>
    <row r="1" spans="1:18" x14ac:dyDescent="0.35">
      <c r="A1" s="1"/>
      <c r="B1" s="1" t="s">
        <v>0</v>
      </c>
      <c r="C1" s="14" t="s">
        <v>22</v>
      </c>
      <c r="D1" s="14" t="s">
        <v>23</v>
      </c>
      <c r="E1" s="14" t="s">
        <v>24</v>
      </c>
      <c r="F1" s="14" t="s">
        <v>30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31</v>
      </c>
      <c r="M1" s="32"/>
    </row>
    <row r="2" spans="1:18" x14ac:dyDescent="0.35">
      <c r="A2" s="1" t="s">
        <v>32</v>
      </c>
      <c r="B2" s="1"/>
      <c r="C2" s="14" t="s">
        <v>33</v>
      </c>
      <c r="D2" s="14" t="s">
        <v>34</v>
      </c>
      <c r="E2" s="14" t="s">
        <v>35</v>
      </c>
      <c r="F2" s="14" t="s">
        <v>36</v>
      </c>
      <c r="G2" s="14" t="s">
        <v>37</v>
      </c>
      <c r="H2" s="14" t="s">
        <v>43</v>
      </c>
      <c r="I2" s="14" t="s">
        <v>39</v>
      </c>
      <c r="J2" s="14" t="s">
        <v>40</v>
      </c>
      <c r="K2" s="14" t="s">
        <v>38</v>
      </c>
      <c r="L2" s="14" t="s">
        <v>41</v>
      </c>
      <c r="M2" s="32"/>
    </row>
    <row r="4" spans="1:18" x14ac:dyDescent="0.35">
      <c r="B4" s="14">
        <v>2021</v>
      </c>
      <c r="C4" s="15">
        <f>(('Income Statement'!B3-'Income Statement'!B8)/'Income Statement'!B8)</f>
        <v>0.175317274411775</v>
      </c>
      <c r="D4" s="15">
        <f>'Income Statement'!D3/'Income Statement'!B3</f>
        <v>0.68925800771024703</v>
      </c>
      <c r="E4" s="15">
        <f>'Income Statement'!H3/'Income Statement'!B3</f>
        <v>0.41594878872971303</v>
      </c>
      <c r="F4" s="15">
        <f>('Income Statement'!I3-'Income Statement'!I8)/'Income Statement'!I3</f>
        <v>0.27729268332490087</v>
      </c>
      <c r="G4" s="15">
        <f>'Income Statement'!I3/'Income Statement'!B3</f>
        <v>0.36451739564989766</v>
      </c>
      <c r="H4" s="15">
        <f>'Income Statement'!I3/'Balance Sheet'!F3</f>
        <v>0.43152238217314137</v>
      </c>
      <c r="I4" s="15">
        <f>'Balance Sheet'!E3/'Balance Sheet'!F3</f>
        <v>0.7263571569428402</v>
      </c>
      <c r="J4" s="16">
        <f>'Cash Flow Statement'!B3-'Cash Flow Statement'!C3</f>
        <v>56118</v>
      </c>
      <c r="K4" s="15">
        <f>J4/'Income Statement'!B3</f>
        <v>0.33386083480081863</v>
      </c>
      <c r="L4" s="17">
        <f>('Balance Sheet'!C3-'Balance Sheet'!C8)/'Balance Sheet'!C8</f>
        <v>0.10768224975193393</v>
      </c>
    </row>
    <row r="5" spans="1:18" x14ac:dyDescent="0.35">
      <c r="B5" s="14">
        <v>2022</v>
      </c>
      <c r="C5" s="15">
        <f>('Income Statement'!B4-'Income Statement'!B3)/'Income Statement'!B3</f>
        <v>0.17956070629670173</v>
      </c>
      <c r="D5" s="15">
        <f>'Income Statement'!D4/'Income Statement'!B4</f>
        <v>1.5918696726685833</v>
      </c>
      <c r="E5" s="15">
        <f>'Income Statement'!H4/'Income Statement'!B4</f>
        <v>0.4205527815604983</v>
      </c>
      <c r="F5" s="15">
        <f>('Income Statement'!I4-'Income Statement'!I3)/'Income Statement'!I3</f>
        <v>0.18715216007572913</v>
      </c>
      <c r="G5" s="15">
        <f>'Income Statement'!I4/'Income Statement'!B4</f>
        <v>0.36686336813436221</v>
      </c>
      <c r="H5" s="15">
        <f>'Income Statement'!I4/'Balance Sheet'!F4</f>
        <v>0.43675469250999749</v>
      </c>
      <c r="I5" s="15">
        <f>'Balance Sheet'!E4/'Balance Sheet'!F4</f>
        <v>0.61975958016596411</v>
      </c>
      <c r="J5" s="16">
        <f>'Cash Flow Statement'!B4-'Cash Flow Statement'!C4</f>
        <v>65149</v>
      </c>
      <c r="K5" s="15">
        <f>J5/'Income Statement'!B4</f>
        <v>0.32858727997175569</v>
      </c>
      <c r="L5" s="17">
        <f>('Balance Sheet'!C4-'Balance Sheet'!C3)/'Balance Sheet'!C3</f>
        <v>9.3058580677634006E-2</v>
      </c>
    </row>
    <row r="6" spans="1:18" ht="14.5" customHeight="1" x14ac:dyDescent="0.35">
      <c r="B6" s="14">
        <v>2023</v>
      </c>
      <c r="C6" s="15">
        <f>('Income Statement'!B5-'Income Statement'!B4)/'Income Statement'!B4</f>
        <v>6.8820295556564284E-2</v>
      </c>
      <c r="D6" s="15">
        <f>'Income Statement'!D5/'Income Statement'!B5</f>
        <v>0.68920085883491022</v>
      </c>
      <c r="E6" s="15">
        <f>'Income Statement'!H5/'Income Statement'!B5</f>
        <v>0.41772880636104098</v>
      </c>
      <c r="F6" s="15">
        <f>('Income Statement'!I5-'Income Statement'!I4)/'Income Statement'!I4</f>
        <v>-5.1829855096373282E-3</v>
      </c>
      <c r="G6" s="15">
        <f>'Income Statement'!I5/'Income Statement'!B5</f>
        <v>0.34146237878394642</v>
      </c>
      <c r="H6" s="15">
        <f>'Income Statement'!I5/'Balance Sheet'!F5</f>
        <v>0.35088714643856406</v>
      </c>
      <c r="I6" s="15">
        <f>'Balance Sheet'!E5/'Balance Sheet'!F5</f>
        <v>0.49268995213918915</v>
      </c>
      <c r="J6" s="16">
        <f>'Cash Flow Statement'!B5-'Cash Flow Statement'!C5</f>
        <v>59475</v>
      </c>
      <c r="K6" s="15">
        <f>J6/'Income Statement'!B5</f>
        <v>0.28065497959087371</v>
      </c>
      <c r="L6" s="17">
        <f>('Balance Sheet'!C5-'Balance Sheet'!C4)/'Balance Sheet'!C4</f>
        <v>0.12919636004824031</v>
      </c>
    </row>
    <row r="7" spans="1:18" x14ac:dyDescent="0.35">
      <c r="B7" s="14">
        <v>2024</v>
      </c>
      <c r="C7" s="15">
        <f>('Income Statement'!B6-'Income Statement'!B5)/'Income Statement'!B5</f>
        <v>0.15669962013071279</v>
      </c>
      <c r="D7" s="15">
        <f>'Income Statement'!D6/'Income Statement'!B6</f>
        <v>0.69764443827971379</v>
      </c>
      <c r="E7" s="15">
        <f>'Income Statement'!H6/'Income Statement'!B6</f>
        <v>0.44644299573273716</v>
      </c>
      <c r="F7" s="15">
        <f>('Income Statement'!I6-'Income Statement'!I5)/'Income Statement'!I5</f>
        <v>0.21800417351888449</v>
      </c>
      <c r="G7" s="15">
        <f>'Income Statement'!I6/'Income Statement'!B6</f>
        <v>0.35955972944084985</v>
      </c>
      <c r="H7" s="15">
        <f>'Income Statement'!I6/'Balance Sheet'!F6</f>
        <v>0.32828137978299815</v>
      </c>
      <c r="I7" s="15">
        <f>'Balance Sheet'!E6/'Balance Sheet'!F6</f>
        <v>0.44100611970485365</v>
      </c>
      <c r="J7" s="16">
        <f>'Cash Flow Statement'!B6-'Cash Flow Statement'!C6</f>
        <v>74071</v>
      </c>
      <c r="K7" s="15">
        <f>J7/'Income Statement'!B6</f>
        <v>0.30218013886962408</v>
      </c>
      <c r="L7" s="17">
        <f>('Balance Sheet'!C6-'Balance Sheet'!C5)/'Balance Sheet'!C5</f>
        <v>0.24318649630075539</v>
      </c>
    </row>
    <row r="8" spans="1:18" x14ac:dyDescent="0.35">
      <c r="B8" s="14">
        <v>2025</v>
      </c>
      <c r="C8" s="15">
        <f>('Income Statement'!B7-'Income Statement'!B6)/'Income Statement'!B6</f>
        <v>0.14932156232406721</v>
      </c>
      <c r="D8" s="15">
        <f>'Income Statement'!D7/'Income Statement'!B7</f>
        <v>0.68823742386165188</v>
      </c>
      <c r="E8" s="15">
        <f>'Income Statement'!H7/'Income Statement'!B7</f>
        <v>0.45621956240859851</v>
      </c>
      <c r="F8" s="15">
        <f>('Income Statement'!I7-'Income Statement'!I6)/'Income Statement'!I6</f>
        <v>0.15539620586366523</v>
      </c>
      <c r="G8" s="15">
        <f>'Income Statement'!I7/'Income Statement'!B7</f>
        <v>0.36146015248967073</v>
      </c>
      <c r="H8" s="15">
        <f>'Income Statement'!I7/'Balance Sheet'!F7</f>
        <v>0.29647227341409521</v>
      </c>
      <c r="I8" s="15">
        <f>'Balance Sheet'!E7/'Balance Sheet'!F7</f>
        <v>0.39101662692624584</v>
      </c>
      <c r="J8" s="16">
        <f>'Cash Flow Statement'!B7-'Cash Flow Statement'!C7</f>
        <v>71611</v>
      </c>
      <c r="K8" s="15">
        <f>J8/'Income Statement'!B7</f>
        <v>0.25418849654271558</v>
      </c>
      <c r="L8" s="17">
        <f>('Balance Sheet'!C7-'Balance Sheet'!C6)/'Balance Sheet'!C6</f>
        <v>0.20860546349502013</v>
      </c>
    </row>
    <row r="10" spans="1:18" x14ac:dyDescent="0.35">
      <c r="C10" s="33"/>
      <c r="D10" s="34" t="s">
        <v>123</v>
      </c>
      <c r="E10" s="35"/>
      <c r="G10" s="33"/>
      <c r="H10" s="40"/>
      <c r="I10" s="41" t="s">
        <v>126</v>
      </c>
      <c r="J10" s="40"/>
      <c r="K10" s="35"/>
      <c r="N10" s="33"/>
      <c r="O10" s="40"/>
      <c r="P10" s="41" t="s">
        <v>128</v>
      </c>
      <c r="Q10" s="40"/>
      <c r="R10" s="35"/>
    </row>
    <row r="11" spans="1:18" x14ac:dyDescent="0.35">
      <c r="A11" s="1" t="s">
        <v>32</v>
      </c>
      <c r="C11" s="36"/>
      <c r="D11" s="37" t="s">
        <v>124</v>
      </c>
      <c r="E11" s="38"/>
      <c r="G11" s="36"/>
      <c r="H11" s="42"/>
      <c r="I11" s="43" t="s">
        <v>127</v>
      </c>
      <c r="J11" s="42"/>
      <c r="K11" s="38"/>
      <c r="N11" s="36"/>
      <c r="O11" s="42"/>
      <c r="P11" s="43" t="s">
        <v>129</v>
      </c>
      <c r="Q11" s="42"/>
      <c r="R11" s="38"/>
    </row>
    <row r="13" spans="1:18" x14ac:dyDescent="0.35">
      <c r="B13" s="14" t="s">
        <v>0</v>
      </c>
      <c r="C13" s="14" t="s">
        <v>17</v>
      </c>
      <c r="D13" s="14" t="s">
        <v>18</v>
      </c>
      <c r="E13" s="14" t="s">
        <v>19</v>
      </c>
      <c r="H13" s="14" t="s">
        <v>0</v>
      </c>
      <c r="I13" s="14" t="s">
        <v>17</v>
      </c>
      <c r="J13" s="14" t="s">
        <v>18</v>
      </c>
      <c r="K13" s="14" t="s">
        <v>19</v>
      </c>
      <c r="N13" s="14" t="s">
        <v>0</v>
      </c>
      <c r="O13" s="14" t="s">
        <v>17</v>
      </c>
      <c r="P13" s="14" t="s">
        <v>18</v>
      </c>
      <c r="Q13" s="14" t="s">
        <v>19</v>
      </c>
    </row>
    <row r="14" spans="1:18" x14ac:dyDescent="0.35">
      <c r="B14" s="14">
        <v>2021</v>
      </c>
      <c r="C14" s="15">
        <f>'Segment Revenue'!B3/'Income Statement'!B3</f>
        <v>0.32075460473085526</v>
      </c>
      <c r="D14" s="15">
        <f>'Segment Revenue'!C3/'Income Statement'!B3</f>
        <v>0.35743182142687163</v>
      </c>
      <c r="E14" s="15">
        <f>'Segment Revenue'!D3/'Income Statement'!B3</f>
        <v>0.3218135738422731</v>
      </c>
      <c r="F14" s="39"/>
      <c r="H14" s="14">
        <v>2021</v>
      </c>
      <c r="I14" s="15">
        <f>'Segment Revenue'!I3/'Income Statement'!H3</f>
        <v>0.34828937582241548</v>
      </c>
      <c r="J14" s="15">
        <f>'Segment Revenue'!J3/'Income Statement'!H3</f>
        <v>0.37367698380914238</v>
      </c>
      <c r="K14" s="15">
        <f>'Segment Revenue'!K3/'Income Statement'!H3</f>
        <v>0.27803364036844214</v>
      </c>
      <c r="N14" s="14">
        <v>2021</v>
      </c>
      <c r="O14" s="15">
        <f>('Segment Revenue'!B3-'Segment Revenue'!B8)/'Segment Revenue'!B8</f>
        <v>0.16201129359024097</v>
      </c>
      <c r="P14" s="15">
        <f>('Segment Revenue'!C3-'Segment Revenue'!C8)/'Segment Revenue'!C8</f>
        <v>0.24219493032295414</v>
      </c>
      <c r="Q14" s="15">
        <f>('Segment Revenue'!D3-'Segment Revenue'!D8)/'Segment Revenue'!D8</f>
        <v>0.12107521087645852</v>
      </c>
    </row>
    <row r="15" spans="1:18" x14ac:dyDescent="0.35">
      <c r="B15" s="14">
        <v>2022</v>
      </c>
      <c r="C15" s="15">
        <f>'Segment Revenue'!B4/'Income Statement'!B4</f>
        <v>0.31958440510415093</v>
      </c>
      <c r="D15" s="15">
        <f>'Segment Revenue'!C4/'Income Statement'!B4</f>
        <v>0.37809552630251675</v>
      </c>
      <c r="E15" s="15">
        <f>'Segment Revenue'!D4/'Income Statement'!B4</f>
        <v>0.30232006859333233</v>
      </c>
      <c r="H15" s="14">
        <v>2022</v>
      </c>
      <c r="I15" s="15">
        <f>'Segment Revenue'!I4/'Income Statement'!H4</f>
        <v>0.3560677836009738</v>
      </c>
      <c r="J15" s="15">
        <f>'Segment Revenue'!J4/'Income Statement'!H4</f>
        <v>0.39819867359054006</v>
      </c>
      <c r="K15" s="15">
        <f>'Segment Revenue'!K4/'Income Statement'!H4</f>
        <v>0.24573354280848614</v>
      </c>
      <c r="N15" s="14">
        <v>2022</v>
      </c>
      <c r="O15" s="15">
        <f>('Segment Revenue'!B4-'Segment Revenue'!B3)/'Segment Revenue'!B3</f>
        <v>0.17525734953167021</v>
      </c>
      <c r="P15" s="15">
        <f>('Segment Revenue'!C4-'Segment Revenue'!C3)/'Segment Revenue'!C3</f>
        <v>0.24775299600532624</v>
      </c>
      <c r="Q15" s="15">
        <f>('Segment Revenue'!D4-'Segment Revenue'!D3)/'Segment Revenue'!D3</f>
        <v>0.10811010666814561</v>
      </c>
    </row>
    <row r="16" spans="1:18" x14ac:dyDescent="0.35">
      <c r="B16" s="14">
        <v>2023</v>
      </c>
      <c r="C16" s="15">
        <f>'Segment Revenue'!B5/'Income Statement'!B5</f>
        <v>0.32689521742207961</v>
      </c>
      <c r="D16" s="15">
        <f>'Segment Revenue'!C5/'Income Statement'!B5</f>
        <v>0.41482198051105396</v>
      </c>
      <c r="E16" s="15">
        <f>'Segment Revenue'!D5/'Income Statement'!B5</f>
        <v>0.25828280206686643</v>
      </c>
      <c r="H16" s="14">
        <v>2023</v>
      </c>
      <c r="I16" s="15">
        <f>'Segment Revenue'!I5/'Income Statement'!H5</f>
        <v>0.38621601165798719</v>
      </c>
      <c r="J16" s="15">
        <f>'Segment Revenue'!J5/'Income Statement'!H5</f>
        <v>0.42795657625701794</v>
      </c>
      <c r="K16" s="15">
        <f>'Segment Revenue'!K5/'Income Statement'!H5</f>
        <v>0.18582741208499487</v>
      </c>
      <c r="N16" s="14">
        <v>2023</v>
      </c>
      <c r="O16" s="15">
        <f>('Segment Revenue'!B5-'Segment Revenue'!B4)/'Segment Revenue'!B4</f>
        <v>9.3270626854365254E-2</v>
      </c>
      <c r="P16" s="15">
        <f>('Segment Revenue'!C5-'Segment Revenue'!C4)/'Segment Revenue'!C4</f>
        <v>0.17264056559727872</v>
      </c>
      <c r="Q16" s="15">
        <f>('Segment Revenue'!D5-'Segment Revenue'!D4)/'Segment Revenue'!D4</f>
        <v>-8.6868754275037124E-2</v>
      </c>
    </row>
    <row r="17" spans="2:17" x14ac:dyDescent="0.35">
      <c r="B17" s="14">
        <v>2024</v>
      </c>
      <c r="C17" s="15">
        <f>'Segment Revenue'!B6/'Income Statement'!B6</f>
        <v>0.31709924037826059</v>
      </c>
      <c r="D17" s="15">
        <f>'Segment Revenue'!C6/'Income Statement'!B6</f>
        <v>0.42983493933633049</v>
      </c>
      <c r="E17" s="15">
        <f>'Segment Revenue'!D6/'Income Statement'!B6</f>
        <v>0.25306582028540892</v>
      </c>
      <c r="H17" s="14">
        <v>2024</v>
      </c>
      <c r="I17" s="15">
        <f>'Segment Revenue'!I6/'Income Statement'!H6</f>
        <v>0.37045498158690704</v>
      </c>
      <c r="J17" s="15">
        <f>'Segment Revenue'!J6/'Income Statement'!H6</f>
        <v>0.45309915656154909</v>
      </c>
      <c r="K17" s="15">
        <f>'Segment Revenue'!K6/'Income Statement'!H6</f>
        <v>0.17644586185154387</v>
      </c>
      <c r="N17" s="14">
        <v>2024</v>
      </c>
      <c r="O17" s="15">
        <f>('Segment Revenue'!B6-'Segment Revenue'!B5)/'Segment Revenue'!B5</f>
        <v>0.12203712792678349</v>
      </c>
      <c r="P17" s="15">
        <f>('Segment Revenue'!C6-'Segment Revenue'!C5)/'Segment Revenue'!C5</f>
        <v>0.19856211678250879</v>
      </c>
      <c r="Q17" s="15">
        <f>('Segment Revenue'!D6-'Segment Revenue'!D5)/'Segment Revenue'!D5</f>
        <v>0.13333576935725508</v>
      </c>
    </row>
    <row r="18" spans="2:17" x14ac:dyDescent="0.35">
      <c r="B18" s="14">
        <v>2025</v>
      </c>
      <c r="C18" s="15">
        <f>'Segment Revenue'!B7/'Income Statement'!B7</f>
        <v>0.42882395536056567</v>
      </c>
      <c r="D18" s="15">
        <f>'Segment Revenue'!C7/'Income Statement'!B7</f>
        <v>0.37719541111158439</v>
      </c>
      <c r="E18" s="15">
        <f>'Segment Revenue'!D7/'Income Statement'!B7</f>
        <v>0.19398063352784994</v>
      </c>
      <c r="F18" s="39"/>
      <c r="H18" s="14">
        <v>2025</v>
      </c>
      <c r="I18" s="15">
        <f>'Segment Revenue'!I7/'Income Statement'!H7</f>
        <v>0.54286225569525703</v>
      </c>
      <c r="J18" s="15">
        <f>'Segment Revenue'!J7/'Income Statement'!H7</f>
        <v>0.34692051537408192</v>
      </c>
      <c r="K18" s="15">
        <f>'Segment Revenue'!K7/'Income Statement'!H7</f>
        <v>0.11021722893066102</v>
      </c>
      <c r="N18" s="14">
        <v>2025</v>
      </c>
      <c r="O18" s="15">
        <f>('Segment Revenue'!B7-'Segment Revenue'!B6)/'Segment Revenue'!B6</f>
        <v>0.55426615891313302</v>
      </c>
      <c r="P18" s="15">
        <f>('Segment Revenue'!C7-'Segment Revenue'!C6)/'Segment Revenue'!C6</f>
        <v>8.5704523452478122E-3</v>
      </c>
      <c r="Q18" s="15">
        <f>('Segment Revenue'!D7-'Segment Revenue'!D6)/'Segment Revenue'!D6</f>
        <v>-0.11901921588857364</v>
      </c>
    </row>
    <row r="19" spans="2:17" x14ac:dyDescent="0.35">
      <c r="C19" s="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BCFA-D758-4D9A-8B88-C6463DF8AE49}">
  <dimension ref="A1:L45"/>
  <sheetViews>
    <sheetView topLeftCell="B1" workbookViewId="0">
      <selection activeCell="L5" sqref="A1:XFD1048576"/>
    </sheetView>
  </sheetViews>
  <sheetFormatPr defaultRowHeight="14.5" x14ac:dyDescent="0.35"/>
  <cols>
    <col min="4" max="4" width="11.90625" customWidth="1"/>
    <col min="5" max="5" width="11.54296875" customWidth="1"/>
    <col min="6" max="6" width="15.81640625" customWidth="1"/>
    <col min="8" max="8" width="13.453125" customWidth="1"/>
    <col min="10" max="10" width="17.08984375" customWidth="1"/>
  </cols>
  <sheetData>
    <row r="1" spans="1:12" x14ac:dyDescent="0.35">
      <c r="D1" s="1"/>
      <c r="G1" s="1"/>
      <c r="H1" s="18" t="s">
        <v>51</v>
      </c>
    </row>
    <row r="2" spans="1:12" x14ac:dyDescent="0.35">
      <c r="H2" s="18" t="s">
        <v>52</v>
      </c>
    </row>
    <row r="3" spans="1:12" x14ac:dyDescent="0.35">
      <c r="H3" s="18" t="s">
        <v>53</v>
      </c>
    </row>
    <row r="5" spans="1:12" x14ac:dyDescent="0.35">
      <c r="D5" s="23" t="s">
        <v>118</v>
      </c>
      <c r="E5" s="24"/>
      <c r="F5" s="25" t="s">
        <v>60</v>
      </c>
      <c r="G5" s="24"/>
      <c r="H5" s="25" t="s">
        <v>70</v>
      </c>
      <c r="I5" s="26"/>
      <c r="J5" s="25" t="s">
        <v>83</v>
      </c>
      <c r="K5" s="24"/>
      <c r="L5" s="2" t="s">
        <v>92</v>
      </c>
    </row>
    <row r="6" spans="1:12" x14ac:dyDescent="0.35">
      <c r="D6" s="27"/>
      <c r="E6" s="19"/>
      <c r="G6" s="19"/>
      <c r="I6" s="19"/>
      <c r="K6" s="19"/>
      <c r="L6" s="22"/>
    </row>
    <row r="7" spans="1:12" x14ac:dyDescent="0.35">
      <c r="D7" s="28" t="s">
        <v>54</v>
      </c>
      <c r="E7" s="19"/>
      <c r="F7" s="1" t="s">
        <v>61</v>
      </c>
      <c r="G7" s="19"/>
      <c r="H7" s="1" t="s">
        <v>71</v>
      </c>
      <c r="I7" s="19"/>
      <c r="J7" t="s">
        <v>84</v>
      </c>
      <c r="K7" s="19"/>
      <c r="L7" s="22" t="s">
        <v>93</v>
      </c>
    </row>
    <row r="8" spans="1:12" x14ac:dyDescent="0.35">
      <c r="D8" s="29"/>
      <c r="E8" s="19"/>
      <c r="G8" s="19"/>
      <c r="I8" s="19"/>
      <c r="K8" s="19"/>
      <c r="L8" s="22"/>
    </row>
    <row r="9" spans="1:12" x14ac:dyDescent="0.35">
      <c r="D9" s="28" t="s">
        <v>55</v>
      </c>
      <c r="E9" s="19"/>
      <c r="F9" s="1" t="s">
        <v>55</v>
      </c>
      <c r="G9" s="19"/>
      <c r="H9" s="1" t="s">
        <v>55</v>
      </c>
      <c r="I9" s="19"/>
      <c r="J9" s="1" t="s">
        <v>55</v>
      </c>
      <c r="K9" s="19"/>
      <c r="L9" s="21" t="s">
        <v>55</v>
      </c>
    </row>
    <row r="10" spans="1:12" x14ac:dyDescent="0.35">
      <c r="D10" s="29"/>
      <c r="E10" s="19"/>
      <c r="F10" s="1"/>
      <c r="G10" s="19"/>
      <c r="I10" s="19"/>
      <c r="K10" s="19"/>
      <c r="L10" s="22"/>
    </row>
    <row r="11" spans="1:12" x14ac:dyDescent="0.35">
      <c r="D11" s="29" t="s">
        <v>56</v>
      </c>
      <c r="E11" s="19"/>
      <c r="F11" t="s">
        <v>62</v>
      </c>
      <c r="G11" s="19"/>
      <c r="H11" t="s">
        <v>72</v>
      </c>
      <c r="I11" s="20"/>
      <c r="J11" t="s">
        <v>85</v>
      </c>
      <c r="K11" s="19"/>
      <c r="L11" s="22" t="s">
        <v>94</v>
      </c>
    </row>
    <row r="12" spans="1:12" x14ac:dyDescent="0.35">
      <c r="D12" s="29"/>
      <c r="E12" s="19"/>
      <c r="G12" s="19"/>
      <c r="I12" s="19"/>
      <c r="K12" s="19"/>
      <c r="L12" s="22"/>
    </row>
    <row r="13" spans="1:12" x14ac:dyDescent="0.35">
      <c r="A13" s="1"/>
      <c r="D13" s="28" t="s">
        <v>44</v>
      </c>
      <c r="E13" s="19"/>
      <c r="F13" s="1" t="s">
        <v>44</v>
      </c>
      <c r="G13" s="19"/>
      <c r="H13" s="1" t="s">
        <v>44</v>
      </c>
      <c r="I13" s="19"/>
      <c r="J13" s="1" t="s">
        <v>44</v>
      </c>
      <c r="K13" s="19"/>
      <c r="L13" s="21" t="s">
        <v>44</v>
      </c>
    </row>
    <row r="14" spans="1:12" x14ac:dyDescent="0.35">
      <c r="D14" s="29"/>
      <c r="E14" s="19"/>
      <c r="G14" s="19"/>
      <c r="I14" s="19"/>
      <c r="K14" s="19"/>
      <c r="L14" s="22"/>
    </row>
    <row r="15" spans="1:12" x14ac:dyDescent="0.35">
      <c r="D15" s="29" t="s">
        <v>1</v>
      </c>
      <c r="E15" s="19"/>
      <c r="F15" t="s">
        <v>22</v>
      </c>
      <c r="G15" s="19"/>
      <c r="H15" t="s">
        <v>3</v>
      </c>
      <c r="I15" s="19"/>
      <c r="J15" t="s">
        <v>15</v>
      </c>
      <c r="K15" s="19"/>
      <c r="L15" s="22" t="s">
        <v>11</v>
      </c>
    </row>
    <row r="16" spans="1:12" x14ac:dyDescent="0.35">
      <c r="D16" s="29" t="s">
        <v>22</v>
      </c>
      <c r="E16" s="19"/>
      <c r="F16" t="s">
        <v>50</v>
      </c>
      <c r="G16" s="19"/>
      <c r="H16" t="s">
        <v>23</v>
      </c>
      <c r="I16" s="19"/>
      <c r="J16" t="s">
        <v>28</v>
      </c>
      <c r="K16" s="19"/>
      <c r="L16" s="22" t="s">
        <v>95</v>
      </c>
    </row>
    <row r="17" spans="4:12" x14ac:dyDescent="0.35">
      <c r="D17" s="29" t="s">
        <v>8</v>
      </c>
      <c r="E17" s="19"/>
      <c r="F17" t="s">
        <v>63</v>
      </c>
      <c r="G17" s="19"/>
      <c r="H17" t="s">
        <v>7</v>
      </c>
      <c r="I17" s="19"/>
      <c r="J17" t="s">
        <v>29</v>
      </c>
      <c r="K17" s="19"/>
      <c r="L17" s="22" t="s">
        <v>96</v>
      </c>
    </row>
    <row r="18" spans="4:12" x14ac:dyDescent="0.35">
      <c r="D18" s="29" t="s">
        <v>30</v>
      </c>
      <c r="E18" s="19"/>
      <c r="G18" s="19"/>
      <c r="H18" t="s">
        <v>24</v>
      </c>
      <c r="I18" s="19"/>
      <c r="K18" s="19"/>
      <c r="L18" s="22" t="s">
        <v>97</v>
      </c>
    </row>
    <row r="19" spans="4:12" x14ac:dyDescent="0.35">
      <c r="D19" s="29" t="s">
        <v>28</v>
      </c>
      <c r="E19" s="19"/>
      <c r="F19" s="1" t="s">
        <v>46</v>
      </c>
      <c r="G19" s="19"/>
      <c r="H19" t="s">
        <v>25</v>
      </c>
      <c r="I19" s="19"/>
      <c r="J19" s="1" t="s">
        <v>46</v>
      </c>
      <c r="K19" s="19"/>
      <c r="L19" s="22" t="s">
        <v>45</v>
      </c>
    </row>
    <row r="20" spans="4:12" x14ac:dyDescent="0.35">
      <c r="D20" s="29" t="s">
        <v>45</v>
      </c>
      <c r="E20" s="19"/>
      <c r="G20" s="19"/>
      <c r="H20" t="s">
        <v>73</v>
      </c>
      <c r="I20" s="19"/>
      <c r="K20" s="19"/>
      <c r="L20" s="22"/>
    </row>
    <row r="21" spans="4:12" x14ac:dyDescent="0.35">
      <c r="D21" s="29"/>
      <c r="E21" s="19"/>
      <c r="F21" t="s">
        <v>48</v>
      </c>
      <c r="G21" s="19"/>
      <c r="I21" s="19"/>
      <c r="J21" t="s">
        <v>86</v>
      </c>
      <c r="K21" s="19"/>
      <c r="L21" s="21" t="s">
        <v>46</v>
      </c>
    </row>
    <row r="22" spans="4:12" x14ac:dyDescent="0.35">
      <c r="D22" s="28" t="s">
        <v>46</v>
      </c>
      <c r="E22" s="19"/>
      <c r="F22" t="s">
        <v>64</v>
      </c>
      <c r="G22" s="19"/>
      <c r="H22" s="1" t="s">
        <v>46</v>
      </c>
      <c r="I22" s="19"/>
      <c r="J22" t="s">
        <v>87</v>
      </c>
      <c r="K22" s="19"/>
      <c r="L22" s="22"/>
    </row>
    <row r="23" spans="4:12" x14ac:dyDescent="0.35">
      <c r="D23" s="29"/>
      <c r="E23" s="19"/>
      <c r="F23" t="s">
        <v>65</v>
      </c>
      <c r="G23" s="19"/>
      <c r="I23" s="19"/>
      <c r="J23" t="s">
        <v>88</v>
      </c>
      <c r="K23" s="19"/>
      <c r="L23" s="22" t="s">
        <v>98</v>
      </c>
    </row>
    <row r="24" spans="4:12" x14ac:dyDescent="0.35">
      <c r="D24" s="29" t="s">
        <v>48</v>
      </c>
      <c r="E24" s="19"/>
      <c r="F24" t="s">
        <v>66</v>
      </c>
      <c r="G24" s="19"/>
      <c r="H24" t="s">
        <v>74</v>
      </c>
      <c r="I24" s="19"/>
      <c r="J24" t="s">
        <v>89</v>
      </c>
      <c r="K24" s="19"/>
      <c r="L24" s="22" t="s">
        <v>99</v>
      </c>
    </row>
    <row r="25" spans="4:12" x14ac:dyDescent="0.35">
      <c r="D25" s="29" t="s">
        <v>49</v>
      </c>
      <c r="E25" s="19"/>
      <c r="G25" s="19"/>
      <c r="H25" t="s">
        <v>75</v>
      </c>
      <c r="I25" s="19"/>
      <c r="K25" s="19"/>
      <c r="L25" s="22" t="s">
        <v>100</v>
      </c>
    </row>
    <row r="26" spans="4:12" x14ac:dyDescent="0.35">
      <c r="D26" s="29" t="s">
        <v>57</v>
      </c>
      <c r="E26" s="19"/>
      <c r="F26" s="1" t="s">
        <v>67</v>
      </c>
      <c r="G26" s="19"/>
      <c r="H26" t="s">
        <v>76</v>
      </c>
      <c r="I26" s="19"/>
      <c r="J26" s="1" t="s">
        <v>67</v>
      </c>
      <c r="K26" s="19"/>
      <c r="L26" s="22" t="s">
        <v>101</v>
      </c>
    </row>
    <row r="27" spans="4:12" x14ac:dyDescent="0.35">
      <c r="D27" s="29" t="s">
        <v>47</v>
      </c>
      <c r="E27" s="19"/>
      <c r="G27" s="19"/>
      <c r="H27" t="s">
        <v>77</v>
      </c>
      <c r="I27" s="19"/>
      <c r="K27" s="19"/>
      <c r="L27" s="22"/>
    </row>
    <row r="28" spans="4:12" x14ac:dyDescent="0.35">
      <c r="D28" s="29"/>
      <c r="E28" s="19"/>
      <c r="F28" t="s">
        <v>1</v>
      </c>
      <c r="G28" s="19"/>
      <c r="H28" t="s">
        <v>78</v>
      </c>
      <c r="I28" s="19"/>
      <c r="J28" t="s">
        <v>15</v>
      </c>
      <c r="K28" s="19"/>
      <c r="L28" s="21" t="s">
        <v>67</v>
      </c>
    </row>
    <row r="29" spans="4:12" x14ac:dyDescent="0.35">
      <c r="D29" s="28" t="s">
        <v>58</v>
      </c>
      <c r="E29" s="19"/>
      <c r="F29" t="s">
        <v>68</v>
      </c>
      <c r="G29" s="19"/>
      <c r="I29" s="19"/>
      <c r="J29" t="s">
        <v>90</v>
      </c>
      <c r="K29" s="19"/>
      <c r="L29" s="22"/>
    </row>
    <row r="30" spans="4:12" x14ac:dyDescent="0.35">
      <c r="D30" s="29"/>
      <c r="E30" s="19"/>
      <c r="F30" t="s">
        <v>18</v>
      </c>
      <c r="G30" s="19"/>
      <c r="H30" s="1" t="s">
        <v>67</v>
      </c>
      <c r="I30" s="19"/>
      <c r="J30" t="s">
        <v>28</v>
      </c>
      <c r="K30" s="19"/>
      <c r="L30" s="22" t="s">
        <v>102</v>
      </c>
    </row>
    <row r="31" spans="4:12" x14ac:dyDescent="0.35">
      <c r="D31" s="29" t="s">
        <v>59</v>
      </c>
      <c r="E31" s="19"/>
      <c r="F31" t="s">
        <v>19</v>
      </c>
      <c r="G31" s="19"/>
      <c r="I31" s="19"/>
      <c r="J31" t="s">
        <v>8</v>
      </c>
      <c r="K31" s="19"/>
      <c r="L31" s="22" t="s">
        <v>103</v>
      </c>
    </row>
    <row r="32" spans="4:12" x14ac:dyDescent="0.35">
      <c r="D32" s="29"/>
      <c r="E32" s="19"/>
      <c r="G32" s="19"/>
      <c r="H32" t="s">
        <v>1</v>
      </c>
      <c r="I32" s="19"/>
      <c r="K32" s="19"/>
      <c r="L32" s="22" t="s">
        <v>104</v>
      </c>
    </row>
    <row r="33" spans="4:12" x14ac:dyDescent="0.35">
      <c r="D33" s="29"/>
      <c r="E33" s="19"/>
      <c r="F33" s="1" t="s">
        <v>58</v>
      </c>
      <c r="G33" s="19"/>
      <c r="H33" t="s">
        <v>2</v>
      </c>
      <c r="I33" s="19"/>
      <c r="J33" s="1" t="s">
        <v>58</v>
      </c>
      <c r="K33" s="19"/>
      <c r="L33" s="22" t="s">
        <v>105</v>
      </c>
    </row>
    <row r="34" spans="4:12" x14ac:dyDescent="0.35">
      <c r="D34" s="29"/>
      <c r="E34" s="19"/>
      <c r="G34" s="19"/>
      <c r="H34" t="s">
        <v>3</v>
      </c>
      <c r="I34" s="19"/>
      <c r="K34" s="19"/>
      <c r="L34" s="22" t="s">
        <v>45</v>
      </c>
    </row>
    <row r="35" spans="4:12" x14ac:dyDescent="0.35">
      <c r="D35" s="29"/>
      <c r="E35" s="19"/>
      <c r="F35" t="s">
        <v>69</v>
      </c>
      <c r="G35" s="19"/>
      <c r="H35" t="s">
        <v>7</v>
      </c>
      <c r="I35" s="19"/>
      <c r="J35" t="s">
        <v>91</v>
      </c>
      <c r="K35" s="19"/>
      <c r="L35" s="22"/>
    </row>
    <row r="36" spans="4:12" x14ac:dyDescent="0.35">
      <c r="D36" s="29"/>
      <c r="E36" s="19"/>
      <c r="G36" s="19"/>
      <c r="H36" t="s">
        <v>79</v>
      </c>
      <c r="I36" s="19"/>
      <c r="K36" s="19"/>
      <c r="L36" s="21" t="s">
        <v>58</v>
      </c>
    </row>
    <row r="37" spans="4:12" x14ac:dyDescent="0.35">
      <c r="D37" s="29"/>
      <c r="E37" s="19"/>
      <c r="G37" s="19"/>
      <c r="H37" t="s">
        <v>80</v>
      </c>
      <c r="I37" s="19"/>
      <c r="K37" s="19"/>
      <c r="L37" s="22"/>
    </row>
    <row r="38" spans="4:12" x14ac:dyDescent="0.35">
      <c r="D38" s="29"/>
      <c r="E38" s="19"/>
      <c r="G38" s="19"/>
      <c r="H38" t="s">
        <v>81</v>
      </c>
      <c r="I38" s="19"/>
      <c r="K38" s="19"/>
      <c r="L38" s="22" t="s">
        <v>106</v>
      </c>
    </row>
    <row r="39" spans="4:12" x14ac:dyDescent="0.35">
      <c r="D39" s="29"/>
      <c r="E39" s="19"/>
      <c r="G39" s="19"/>
      <c r="I39" s="19"/>
      <c r="K39" s="19"/>
      <c r="L39" s="22"/>
    </row>
    <row r="40" spans="4:12" x14ac:dyDescent="0.35">
      <c r="D40" s="29"/>
      <c r="E40" s="19"/>
      <c r="G40" s="19"/>
      <c r="H40" s="1" t="s">
        <v>58</v>
      </c>
      <c r="I40" s="19"/>
      <c r="K40" s="19"/>
      <c r="L40" s="22"/>
    </row>
    <row r="41" spans="4:12" x14ac:dyDescent="0.35">
      <c r="D41" s="29"/>
      <c r="E41" s="19"/>
      <c r="G41" s="19"/>
      <c r="I41" s="19"/>
      <c r="K41" s="19"/>
      <c r="L41" s="22"/>
    </row>
    <row r="42" spans="4:12" x14ac:dyDescent="0.35">
      <c r="D42" s="29"/>
      <c r="E42" s="19"/>
      <c r="G42" s="19"/>
      <c r="H42" t="s">
        <v>82</v>
      </c>
      <c r="I42" s="19"/>
      <c r="K42" s="19"/>
      <c r="L42" s="22"/>
    </row>
    <row r="43" spans="4:12" x14ac:dyDescent="0.35">
      <c r="D43" s="29"/>
      <c r="E43" s="19"/>
      <c r="G43" s="19"/>
      <c r="I43" s="19"/>
      <c r="K43" s="19"/>
      <c r="L43" s="22"/>
    </row>
    <row r="44" spans="4:12" x14ac:dyDescent="0.35">
      <c r="D44" s="29"/>
      <c r="E44" s="19"/>
      <c r="G44" s="19"/>
      <c r="I44" s="19"/>
      <c r="K44" s="19"/>
      <c r="L44" s="22"/>
    </row>
    <row r="45" spans="4:12" x14ac:dyDescent="0.35">
      <c r="D45" s="29"/>
      <c r="E45" s="19"/>
      <c r="G45" s="19"/>
      <c r="I45" s="19"/>
      <c r="K45" s="19"/>
      <c r="L45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C642-E219-4224-A388-58CE3FEB5BD9}">
  <dimension ref="G2:H20"/>
  <sheetViews>
    <sheetView tabSelected="1" topLeftCell="C1" workbookViewId="0">
      <selection activeCell="H2" sqref="H2"/>
    </sheetView>
  </sheetViews>
  <sheetFormatPr defaultRowHeight="14.5" x14ac:dyDescent="0.35"/>
  <sheetData>
    <row r="2" spans="7:8" x14ac:dyDescent="0.35">
      <c r="H2" s="18" t="s">
        <v>107</v>
      </c>
    </row>
    <row r="3" spans="7:8" x14ac:dyDescent="0.35">
      <c r="G3" s="1" t="s">
        <v>117</v>
      </c>
      <c r="H3" s="31" t="s">
        <v>116</v>
      </c>
    </row>
    <row r="4" spans="7:8" x14ac:dyDescent="0.35">
      <c r="H4" s="30" t="s">
        <v>108</v>
      </c>
    </row>
    <row r="5" spans="7:8" x14ac:dyDescent="0.35">
      <c r="H5" s="30" t="s">
        <v>109</v>
      </c>
    </row>
    <row r="6" spans="7:8" x14ac:dyDescent="0.35">
      <c r="H6" s="18" t="s">
        <v>110</v>
      </c>
    </row>
    <row r="7" spans="7:8" x14ac:dyDescent="0.35">
      <c r="G7" s="1" t="s">
        <v>117</v>
      </c>
      <c r="H7" s="31" t="s">
        <v>119</v>
      </c>
    </row>
    <row r="8" spans="7:8" x14ac:dyDescent="0.35">
      <c r="H8" s="30" t="s">
        <v>111</v>
      </c>
    </row>
    <row r="9" spans="7:8" x14ac:dyDescent="0.35">
      <c r="H9" s="30" t="s">
        <v>109</v>
      </c>
    </row>
    <row r="10" spans="7:8" x14ac:dyDescent="0.35">
      <c r="H10" s="18" t="s">
        <v>110</v>
      </c>
    </row>
    <row r="11" spans="7:8" x14ac:dyDescent="0.35">
      <c r="G11" s="1" t="s">
        <v>117</v>
      </c>
      <c r="H11" s="31" t="s">
        <v>120</v>
      </c>
    </row>
    <row r="12" spans="7:8" x14ac:dyDescent="0.35">
      <c r="H12" s="30" t="s">
        <v>112</v>
      </c>
    </row>
    <row r="13" spans="7:8" x14ac:dyDescent="0.35">
      <c r="H13" s="30" t="s">
        <v>109</v>
      </c>
    </row>
    <row r="14" spans="7:8" x14ac:dyDescent="0.35">
      <c r="H14" s="18" t="s">
        <v>110</v>
      </c>
    </row>
    <row r="15" spans="7:8" x14ac:dyDescent="0.35">
      <c r="G15" s="1" t="s">
        <v>117</v>
      </c>
      <c r="H15" s="31" t="s">
        <v>121</v>
      </c>
    </row>
    <row r="16" spans="7:8" x14ac:dyDescent="0.35">
      <c r="H16" s="30" t="s">
        <v>113</v>
      </c>
    </row>
    <row r="17" spans="7:8" x14ac:dyDescent="0.35">
      <c r="H17" s="30" t="s">
        <v>109</v>
      </c>
    </row>
    <row r="18" spans="7:8" x14ac:dyDescent="0.35">
      <c r="H18" s="18" t="s">
        <v>114</v>
      </c>
    </row>
    <row r="19" spans="7:8" x14ac:dyDescent="0.35">
      <c r="G19" s="1" t="s">
        <v>117</v>
      </c>
      <c r="H19" s="31" t="s">
        <v>122</v>
      </c>
    </row>
    <row r="20" spans="7:8" x14ac:dyDescent="0.35">
      <c r="H20" s="30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Statement</vt:lpstr>
      <vt:lpstr>Balance Sheet</vt:lpstr>
      <vt:lpstr>Cash Flow Statement</vt:lpstr>
      <vt:lpstr>Segment Revenue</vt:lpstr>
      <vt:lpstr>KPI's</vt:lpstr>
      <vt:lpstr>Dashboard Blueprint</vt:lpstr>
      <vt:lpstr>Narrative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Sheetal</dc:creator>
  <cp:lastModifiedBy>Sheetal Sheetal</cp:lastModifiedBy>
  <dcterms:created xsi:type="dcterms:W3CDTF">2026-07-07T13:33:11Z</dcterms:created>
  <dcterms:modified xsi:type="dcterms:W3CDTF">2026-10-26T08:29:13Z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2026-07-09T06:17:19Z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bb8e1845-16a7-4561-8a2e-4bd08bf022ac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